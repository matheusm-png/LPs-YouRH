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Base de Dados" sheetId="1" r:id="rId4"/>
    <sheet state="visible" name="📊 Cálculo de Turnover" sheetId="2" r:id="rId5"/>
    <sheet state="visible" name="📈 Dashboard" sheetId="3" r:id="rId6"/>
    <sheet state="visible" name="💡 Insights" sheetId="4" r:id="rId7"/>
    <sheet state="visible" name="🎯 Estratégias" sheetId="5" r:id="rId8"/>
  </sheets>
  <definedNames/>
  <calcPr/>
  <extLst>
    <ext uri="GoogleSheetsCustomDataVersion2">
      <go:sheetsCustomData xmlns:go="http://customooxmlschemas.google.com/" r:id="rId9" roundtripDataChecksum="c5JRFIzT+VzMRdVPnripiwuZiDmtqc2/pf0j9XnzFyA="/>
    </ext>
  </extLst>
</workbook>
</file>

<file path=xl/sharedStrings.xml><?xml version="1.0" encoding="utf-8"?>
<sst xmlns="http://schemas.openxmlformats.org/spreadsheetml/2006/main" count="195" uniqueCount="161">
  <si>
    <t>BASE DE DADOS DE COLABORADORES</t>
  </si>
  <si>
    <t>Preencha os dados de todos os colaboradores. Colaboradores desligados devem ter a data de desligamento preenchida.</t>
  </si>
  <si>
    <t>Nome</t>
  </si>
  <si>
    <t>Data de Admissão</t>
  </si>
  <si>
    <t>Data de Desligamento</t>
  </si>
  <si>
    <t>Status</t>
  </si>
  <si>
    <t>Área</t>
  </si>
  <si>
    <t>Cargo</t>
  </si>
  <si>
    <t>Motivo do Desligamento</t>
  </si>
  <si>
    <t>Ana Lima</t>
  </si>
  <si>
    <t>15/03/2022</t>
  </si>
  <si>
    <t>Ativo</t>
  </si>
  <si>
    <t>Comercial</t>
  </si>
  <si>
    <t>Analista de Vendas</t>
  </si>
  <si>
    <t>Bruno Souza</t>
  </si>
  <si>
    <t>10/01/2023</t>
  </si>
  <si>
    <t>20/02/2025</t>
  </si>
  <si>
    <t>Desligado</t>
  </si>
  <si>
    <t>TI</t>
  </si>
  <si>
    <t>Dev Junior</t>
  </si>
  <si>
    <t>Proposta melhor</t>
  </si>
  <si>
    <t>Carla Mendes</t>
  </si>
  <si>
    <t>05/06/2021</t>
  </si>
  <si>
    <t>Operações</t>
  </si>
  <si>
    <t>Coordenadora</t>
  </si>
  <si>
    <t>Diego Alves</t>
  </si>
  <si>
    <t>02/08/2023</t>
  </si>
  <si>
    <t>15/01/2025</t>
  </si>
  <si>
    <t>RH</t>
  </si>
  <si>
    <t>Assistente RH</t>
  </si>
  <si>
    <t>Insatisfação c/ liderança</t>
  </si>
  <si>
    <t>Elaine Costa</t>
  </si>
  <si>
    <t>12/11/2022</t>
  </si>
  <si>
    <t>Financeiro</t>
  </si>
  <si>
    <t>Analista Financeiro</t>
  </si>
  <si>
    <t>Felipe Rocha</t>
  </si>
  <si>
    <t>20/04/2024</t>
  </si>
  <si>
    <t>10/03/2025</t>
  </si>
  <si>
    <t>SDR</t>
  </si>
  <si>
    <t>Término de contrato</t>
  </si>
  <si>
    <t>Gabi Torres</t>
  </si>
  <si>
    <t>01/07/2023</t>
  </si>
  <si>
    <t>Marketing</t>
  </si>
  <si>
    <t>Analista de Marketing</t>
  </si>
  <si>
    <t>Hugo Martins</t>
  </si>
  <si>
    <t>14/02/2022</t>
  </si>
  <si>
    <t>28/02/2025</t>
  </si>
  <si>
    <t>Dev Pleno</t>
  </si>
  <si>
    <t>Isabela Nunes</t>
  </si>
  <si>
    <t>08/09/2023</t>
  </si>
  <si>
    <t>Analista</t>
  </si>
  <si>
    <t>Jonas Ferreira</t>
  </si>
  <si>
    <t>30/03/2024</t>
  </si>
  <si>
    <t>Controller</t>
  </si>
  <si>
    <t>ℹ️  LEGENDA DE MOTIVOS SUGERIDOS: Proposta melhor  |  Insatisfação c/ liderança  |  Falta de crescimento  |  Problema pessoal  |  Término de contrato  |  Desempenho  |  Reestruturação</t>
  </si>
  <si>
    <t>CÁLCULO DE TURNOVER</t>
  </si>
  <si>
    <t>Preencha os campos em BRANCO com os dados do seu headcount. Os cálculos são automáticos.</t>
  </si>
  <si>
    <t>TABELA MENSAL DE TURNOVER</t>
  </si>
  <si>
    <t>Mês</t>
  </si>
  <si>
    <t>Headcount Inicial</t>
  </si>
  <si>
    <t>Headcount Final</t>
  </si>
  <si>
    <t>Headcount Médio</t>
  </si>
  <si>
    <t>Desligamentos</t>
  </si>
  <si>
    <t>Turnover Mensal</t>
  </si>
  <si>
    <t>Acumulado Anual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</si>
  <si>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</si>
  <si>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</si>
  <si>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</si>
  <si>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</si>
  <si>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</si>
  <si>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</si>
  <si>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</si>
  <si>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</si>
  <si>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</si>
  <si>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</si>
  <si>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</si>
  <si>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</si>
  <si>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/ ANO</t>
  </si>
  <si>
    <t>INDICADORES CONSOLIDADOS</t>
  </si>
  <si>
    <t>📌  BENCHMARK: Abaixo de 10% ao ano = saudável  |  10% a 20% = atenção  |  Acima de 20% = problema estrutural</t>
  </si>
  <si>
    <t>🔵 Células em AZUL = insira seus dados     ⚫ Células em PRETO = cálculo automático</t>
  </si>
  <si>
    <t>TURNOVER ANUAL</t>
  </si>
  <si>
    <t>TOTAL DESLIGAMENTOS</t>
  </si>
  <si>
    <t>HC MÉDIO DO ANO</t>
  </si>
  <si>
    <t>DASHBOARD DE TURNOVER</t>
  </si>
  <si>
    <t>TURNOVER MENSAL (%)</t>
  </si>
  <si>
    <t>DESLIGAMENTOS POR ÁREA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</si>
  <si>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</si>
  <si>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</si>
  <si>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</si>
  <si>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</si>
  <si>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</si>
  <si>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</si>
  <si>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</si>
  <si>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</si>
  <si>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</si>
  <si>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</si>
  <si>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</si>
  <si>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</si>
  <si>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MOTIVOS DE DESLIGAMENTO</t>
  </si>
  <si>
    <t>Motivo</t>
  </si>
  <si>
    <t>Qtd</t>
  </si>
  <si>
    <t>Falta de crescimento</t>
  </si>
  <si>
    <t>Problema pessoal</t>
  </si>
  <si>
    <t>INSIGHTS E ALERTAS DE RISCO</t>
  </si>
  <si>
    <t>DIAGNÓSTICO AUTOMÁTICO</t>
  </si>
  <si>
    <t>Turnover Anual</t>
  </si>
  <si>
    <t>Total Desligamentos</t>
  </si>
  <si>
    <t>HC Médio do Ano</t>
  </si>
  <si>
    <t>SEMÁFORO DE RISCO</t>
  </si>
  <si>
    <t>PRINCIPAIS MOTIVOS</t>
  </si>
  <si>
    <t>Verificar aba Base de Dados</t>
  </si>
  <si>
    <t>Analise os motivos mais frequentes na coluna G da Base de Dados</t>
  </si>
  <si>
    <t>ÁREA COM MAIS SAÍDAS</t>
  </si>
  <si>
    <t>Verificar aba Dashboard</t>
  </si>
  <si>
    <t>Consulte o gráfico 'Desligamentos por Área' no Dashboard para identificar foco de ação</t>
  </si>
  <si>
    <t>COMO INTERPRETAR OS DADOS</t>
  </si>
  <si>
    <t>TURNOVER ALTO EM UMA ÁREA ESPECÍFICA</t>
  </si>
  <si>
    <t>Indica problema de liderança ou clima local. Priorize pesquisa de clima e reuniões 1:1 com a equipe antes de contratar.</t>
  </si>
  <si>
    <t>TURNOVER ALTO EM TODO O QUADRO</t>
  </si>
  <si>
    <t>Indica problema sistêmico: cultura, remuneração, liderança ou falta de perspectiva. Requer diagnóstico amplo e plano estruturado.</t>
  </si>
  <si>
    <t>TURNOVER EM PROFISSIONAIS COM MENOS DE 1 ANO</t>
  </si>
  <si>
    <t>Indica falha no processo de contratação ou no onboarding. Revise o alinhamento de expectativas e a integração dos novos.</t>
  </si>
  <si>
    <t>TURNOVER EM ALTA PERFORMANCE</t>
  </si>
  <si>
    <t>É o mais crítico. Indica falta de reconhecimento, plano de carreira ou desafios. Ação imediata de retenção individual.</t>
  </si>
  <si>
    <t>MOTIVO 'PROPOSTA MELHOR' RECORRENTE</t>
  </si>
  <si>
    <t>Pode indicar desalinhamento de remuneração com mercado ou falta de outros benefícios não financeiros valorizados pelo time.</t>
  </si>
  <si>
    <t>5 ESTRATÉGIAS PARA REDUZIR O TURNOVER</t>
  </si>
  <si>
    <t>Marque o status de cada ação e acompanhe a implementação na sua empresa</t>
  </si>
  <si>
    <t>#</t>
  </si>
  <si>
    <t>ESTRATÉGIA</t>
  </si>
  <si>
    <t>COMO IMPLEMENTAR</t>
  </si>
  <si>
    <t>RESPONSÁVEL</t>
  </si>
  <si>
    <t>PRAZO</t>
  </si>
  <si>
    <t>STATUS</t>
  </si>
  <si>
    <t>1</t>
  </si>
  <si>
    <t>Onboarding Estruturado</t>
  </si>
  <si>
    <t>Crie trilhas de integração com conteúdo sobre cultura, processos e ferramentas. Defina um buddy para os primeiros 30 dias. Acompanhe o ramp up com checkpoints.</t>
  </si>
  <si>
    <t>RH + Liderança</t>
  </si>
  <si>
    <t>30 dias</t>
  </si>
  <si>
    <t>⬜ Não iniciado</t>
  </si>
  <si>
    <t>2</t>
  </si>
  <si>
    <t>Avaliação de Desempenho Contínua</t>
  </si>
  <si>
    <t>Implante ciclos regulares de avaliação (trimestral ou semestral). Use múltiplas perspectivas (autoavaliação, gestor, pares). Defina PDIs a partir dos resultados.</t>
  </si>
  <si>
    <t>60 dias</t>
  </si>
  <si>
    <t>3</t>
  </si>
  <si>
    <t>People Analytics e Monitoramento</t>
  </si>
  <si>
    <t>Acompanhe mensalmente: turnover por área, absenteísmo, eNPS e resultados de avaliação. Cruze dados para identificar padrões de risco antes da demissão.</t>
  </si>
  <si>
    <t>4</t>
  </si>
  <si>
    <t>Desenvolvimento de Liderança</t>
  </si>
  <si>
    <t>Capacite gestores em feedback, gestão de conflitos e escuta ativa. Liderança imediata é a principal causa de saída voluntária nas empresas.</t>
  </si>
  <si>
    <t>RH + Diretoria</t>
  </si>
  <si>
    <t>90 dias</t>
  </si>
  <si>
    <t>5</t>
  </si>
  <si>
    <t>Plano de Carreira e Desenvolvimento</t>
  </si>
  <si>
    <t>Mapeie trilhas de crescimento por cargo. Crie critérios claros de promoção. Invista em educação corporativa com trilhas de soft e hard skills.</t>
  </si>
  <si>
    <t>PROGRESSO DE IMPLEMENTAÇÃO</t>
  </si>
  <si>
    <t>Ações concluídas:</t>
  </si>
  <si>
    <t>de 5 estratégias</t>
  </si>
  <si>
    <t>💡  Altere o STATUS de cada estratégia para ✅ Concluído conforme avançar na implementação</t>
  </si>
  <si>
    <t>🔗  Quer automatizar o monitoramento de turnover e conectar com avaliação de desempenho? Conheça o You Performa: yourh.com.br/solucoes/you-performa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</si>
</sst>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7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000000"/>
      <name val="Arial"/>
    </font>
    <font>
      <b/>
      <sz val="10.0"/>
      <color rgb="FFFFFFFF"/>
      <name val="Arial"/>
    </font>
    <font>
      <sz val="10.0"/>
      <color rgb="FF000000"/>
      <name val="Arial"/>
    </font>
    <font>
      <sz val="10.0"/>
      <color theme="1"/>
      <name val="Arial"/>
    </font>
    <font>
      <i/>
      <sz val="8.0"/>
      <color rgb="FF000000"/>
      <name val="Arial"/>
    </font>
    <font>
      <i/>
      <sz val="9.0"/>
      <color theme="1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sz val="10.0"/>
      <color rgb="FF0000FF"/>
      <name val="Arial"/>
    </font>
    <font>
      <b/>
      <i/>
      <sz val="9.0"/>
      <color theme="1"/>
      <name val="Arial"/>
    </font>
    <font>
      <b/>
      <sz val="9.0"/>
      <color rgb="FFFFFFFF"/>
      <name val="Arial"/>
    </font>
    <font>
      <b/>
      <sz val="16.0"/>
      <color rgb="FFFB8357"/>
      <name val="Arial"/>
    </font>
    <font>
      <b/>
      <sz val="16.0"/>
      <color rgb="FF6212B3"/>
      <name val="Arial"/>
    </font>
    <font>
      <b/>
      <sz val="16.0"/>
      <color rgb="FF61DD75"/>
      <name val="Arial"/>
    </font>
    <font>
      <sz val="9.0"/>
      <color theme="1"/>
      <name val="Arial"/>
    </font>
    <font>
      <sz val="11.0"/>
      <color theme="1"/>
      <name val="Calibri"/>
    </font>
    <font>
      <sz val="9.0"/>
      <color rgb="FF000000"/>
      <name val="Arial"/>
    </font>
    <font>
      <b/>
      <sz val="20.0"/>
      <color rgb="FF6212B3"/>
      <name val="Arial"/>
    </font>
    <font>
      <sz val="9.0"/>
      <color rgb="FF0000FF"/>
      <name val="Arial"/>
    </font>
    <font>
      <b/>
      <sz val="9.0"/>
      <color theme="1"/>
      <name val="Arial"/>
    </font>
    <font>
      <b/>
      <sz val="10.0"/>
      <color rgb="FF000000"/>
      <name val="Arial"/>
    </font>
    <font>
      <b/>
      <sz val="14.0"/>
      <color rgb="FF61DD75"/>
      <name val="Arial"/>
    </font>
    <font>
      <b/>
      <sz val="14.0"/>
      <color rgb="FF6212B3"/>
      <name val="Arial"/>
    </font>
    <font>
      <sz val="9.0"/>
      <color rgb="FF6212B3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212B3"/>
        <bgColor rgb="FF6212B3"/>
      </patternFill>
    </fill>
    <fill>
      <patternFill patternType="solid">
        <fgColor rgb="FFEFE3CD"/>
        <bgColor rgb="FFEFE3CD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61DD75"/>
        <bgColor rgb="FF61DD75"/>
      </patternFill>
    </fill>
    <fill>
      <patternFill patternType="solid">
        <fgColor rgb="FFFB8357"/>
        <bgColor rgb="FFFB8357"/>
      </patternFill>
    </fill>
    <fill>
      <patternFill patternType="solid">
        <fgColor rgb="FFFFF9E6"/>
        <bgColor rgb="FFFFF9E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0"/>
    </xf>
    <xf borderId="4" fillId="4" fontId="5" numFmtId="0" xfId="0" applyAlignment="1" applyBorder="1" applyFill="1" applyFont="1">
      <alignment horizontal="left" shrinkToFit="0" vertical="center" wrapText="0"/>
    </xf>
    <xf borderId="4" fillId="5" fontId="5" numFmtId="0" xfId="0" applyAlignment="1" applyBorder="1" applyFill="1" applyFont="1">
      <alignment horizontal="left" shrinkToFit="0" vertical="center" wrapText="0"/>
    </xf>
    <xf borderId="4" fillId="4" fontId="6" numFmtId="0" xfId="0" applyAlignment="1" applyBorder="1" applyFont="1">
      <alignment horizontal="left" shrinkToFit="0" vertical="center" wrapText="0"/>
    </xf>
    <xf borderId="4" fillId="5" fontId="6" numFmtId="0" xfId="0" applyAlignment="1" applyBorder="1" applyFont="1">
      <alignment horizontal="left" shrinkToFit="0" vertical="center" wrapText="0"/>
    </xf>
    <xf borderId="1" fillId="3" fontId="7" numFmtId="0" xfId="0" applyAlignment="1" applyBorder="1" applyFont="1">
      <alignment horizontal="left" shrinkToFit="0" vertical="center" wrapText="1"/>
    </xf>
    <xf borderId="1" fillId="3" fontId="8" numFmtId="0" xfId="0" applyAlignment="1" applyBorder="1" applyFont="1">
      <alignment horizontal="center" shrinkToFit="0" vertical="center" wrapText="0"/>
    </xf>
    <xf borderId="1" fillId="6" fontId="9" numFmtId="0" xfId="0" applyAlignment="1" applyBorder="1" applyFill="1" applyFont="1">
      <alignment horizontal="center" shrinkToFit="0" vertical="center" wrapText="0"/>
    </xf>
    <xf borderId="4" fillId="2" fontId="4" numFmtId="0" xfId="0" applyAlignment="1" applyBorder="1" applyFont="1">
      <alignment horizontal="center" readingOrder="0" shrinkToFit="0" vertical="center" wrapText="0"/>
    </xf>
    <xf borderId="4" fillId="4" fontId="10" numFmtId="0" xfId="0" applyAlignment="1" applyBorder="1" applyFont="1">
      <alignment horizontal="left" shrinkToFit="0" vertical="center" wrapText="0"/>
    </xf>
    <xf borderId="4" fillId="4" fontId="11" numFmtId="0" xfId="0" applyAlignment="1" applyBorder="1" applyFont="1">
      <alignment horizontal="center" shrinkToFit="0" vertical="center" wrapText="0"/>
    </xf>
    <xf borderId="4" fillId="4" fontId="5" numFmtId="164" xfId="0" applyAlignment="1" applyBorder="1" applyFont="1" applyNumberFormat="1">
      <alignment horizontal="center" shrinkToFit="0" vertical="center" wrapText="0"/>
    </xf>
    <xf borderId="4" fillId="4" fontId="5" numFmtId="10" xfId="0" applyAlignment="1" applyBorder="1" applyFont="1" applyNumberFormat="1">
      <alignment horizontal="center" shrinkToFit="0" vertical="center" wrapText="0"/>
    </xf>
    <xf borderId="4" fillId="5" fontId="10" numFmtId="0" xfId="0" applyAlignment="1" applyBorder="1" applyFont="1">
      <alignment horizontal="left" shrinkToFit="0" vertical="center" wrapText="0"/>
    </xf>
    <xf borderId="4" fillId="5" fontId="11" numFmtId="0" xfId="0" applyAlignment="1" applyBorder="1" applyFont="1">
      <alignment horizontal="center" shrinkToFit="0" vertical="center" wrapText="0"/>
    </xf>
    <xf borderId="4" fillId="5" fontId="5" numFmtId="164" xfId="0" applyAlignment="1" applyBorder="1" applyFont="1" applyNumberFormat="1">
      <alignment horizontal="center" shrinkToFit="0" vertical="center" wrapText="0"/>
    </xf>
    <xf borderId="4" fillId="5" fontId="5" numFmtId="10" xfId="0" applyAlignment="1" applyBorder="1" applyFont="1" applyNumberFormat="1">
      <alignment horizontal="center" shrinkToFit="0" vertical="center" wrapText="0"/>
    </xf>
    <xf borderId="4" fillId="2" fontId="4" numFmtId="164" xfId="0" applyAlignment="1" applyBorder="1" applyFont="1" applyNumberFormat="1">
      <alignment horizontal="center" shrinkToFit="0" vertical="center" wrapText="0"/>
    </xf>
    <xf borderId="4" fillId="2" fontId="4" numFmtId="10" xfId="0" applyAlignment="1" applyBorder="1" applyFont="1" applyNumberFormat="1">
      <alignment horizontal="center" shrinkToFit="0" vertical="center" wrapText="0"/>
    </xf>
    <xf borderId="1" fillId="3" fontId="12" numFmtId="0" xfId="0" applyAlignment="1" applyBorder="1" applyFont="1">
      <alignment horizontal="center" shrinkToFit="0" vertical="center" wrapText="0"/>
    </xf>
    <xf borderId="1" fillId="4" fontId="8" numFmtId="0" xfId="0" applyAlignment="1" applyBorder="1" applyFont="1">
      <alignment horizontal="center" shrinkToFit="0" vertical="center" wrapText="0"/>
    </xf>
    <xf borderId="4" fillId="7" fontId="13" numFmtId="0" xfId="0" applyAlignment="1" applyBorder="1" applyFill="1" applyFont="1">
      <alignment horizontal="center" shrinkToFit="0" vertical="center" wrapText="0"/>
    </xf>
    <xf borderId="4" fillId="2" fontId="13" numFmtId="0" xfId="0" applyAlignment="1" applyBorder="1" applyFont="1">
      <alignment horizontal="center" shrinkToFit="0" vertical="center" wrapText="0"/>
    </xf>
    <xf borderId="4" fillId="6" fontId="13" numFmtId="0" xfId="0" applyAlignment="1" applyBorder="1" applyFont="1">
      <alignment horizontal="center" shrinkToFit="0" vertical="center" wrapText="0"/>
    </xf>
    <xf borderId="4" fillId="5" fontId="14" numFmtId="10" xfId="0" applyAlignment="1" applyBorder="1" applyFont="1" applyNumberFormat="1">
      <alignment horizontal="center" shrinkToFit="0" vertical="center" wrapText="0"/>
    </xf>
    <xf borderId="4" fillId="5" fontId="15" numFmtId="1" xfId="0" applyAlignment="1" applyBorder="1" applyFont="1" applyNumberFormat="1">
      <alignment horizontal="center" shrinkToFit="0" vertical="center" wrapText="0"/>
    </xf>
    <xf borderId="4" fillId="5" fontId="16" numFmtId="164" xfId="0" applyAlignment="1" applyBorder="1" applyFont="1" applyNumberFormat="1">
      <alignment horizontal="center" shrinkToFit="0" vertical="center" wrapText="0"/>
    </xf>
    <xf borderId="1" fillId="7" fontId="9" numFmtId="0" xfId="0" applyAlignment="1" applyBorder="1" applyFont="1">
      <alignment horizontal="center" shrinkToFit="0" vertical="center" wrapText="0"/>
    </xf>
    <xf borderId="0" fillId="0" fontId="17" numFmtId="0" xfId="0" applyAlignment="1" applyFont="1">
      <alignment shrinkToFit="0" vertical="bottom" wrapText="0"/>
    </xf>
    <xf borderId="0" fillId="0" fontId="18" numFmtId="10" xfId="0" applyAlignment="1" applyFont="1" applyNumberFormat="1">
      <alignment shrinkToFit="0" vertical="bottom" wrapText="0"/>
    </xf>
    <xf borderId="4" fillId="7" fontId="13" numFmtId="0" xfId="0" applyAlignment="1" applyBorder="1" applyFont="1">
      <alignment horizontal="left" shrinkToFit="0" vertical="center" wrapText="0"/>
    </xf>
    <xf borderId="4" fillId="5" fontId="19" numFmtId="0" xfId="0" applyAlignment="1" applyBorder="1" applyFont="1">
      <alignment horizontal="left" shrinkToFit="0" vertical="center" wrapText="0"/>
    </xf>
    <xf borderId="4" fillId="5" fontId="19" numFmtId="0" xfId="0" applyAlignment="1" applyBorder="1" applyFont="1">
      <alignment horizontal="center" shrinkToFit="0" vertical="center" wrapText="0"/>
    </xf>
    <xf borderId="4" fillId="4" fontId="19" numFmtId="0" xfId="0" applyAlignment="1" applyBorder="1" applyFont="1">
      <alignment horizontal="left" shrinkToFit="0" vertical="center" wrapText="0"/>
    </xf>
    <xf borderId="4" fillId="4" fontId="19" numFmtId="0" xfId="0" applyAlignment="1" applyBorder="1" applyFont="1">
      <alignment horizontal="center" shrinkToFit="0" vertical="center" wrapText="0"/>
    </xf>
    <xf borderId="1" fillId="2" fontId="9" numFmtId="0" xfId="0" applyAlignment="1" applyBorder="1" applyFont="1">
      <alignment horizontal="center" shrinkToFit="0" vertical="center" wrapText="0"/>
    </xf>
    <xf borderId="4" fillId="2" fontId="13" numFmtId="0" xfId="0" applyAlignment="1" applyBorder="1" applyFont="1">
      <alignment horizontal="left" shrinkToFit="0" vertical="center" wrapText="0"/>
    </xf>
    <xf borderId="4" fillId="5" fontId="20" numFmtId="10" xfId="0" applyAlignment="1" applyBorder="1" applyFont="1" applyNumberFormat="1">
      <alignment horizontal="center" shrinkToFit="0" vertical="center" wrapText="0"/>
    </xf>
    <xf borderId="4" fillId="5" fontId="20" numFmtId="1" xfId="0" applyAlignment="1" applyBorder="1" applyFont="1" applyNumberFormat="1">
      <alignment horizontal="center" shrinkToFit="0" vertical="center" wrapText="0"/>
    </xf>
    <xf borderId="4" fillId="5" fontId="20" numFmtId="164" xfId="0" applyAlignment="1" applyBorder="1" applyFont="1" applyNumberFormat="1">
      <alignment horizontal="center" shrinkToFit="0" vertical="center" wrapText="0"/>
    </xf>
    <xf borderId="4" fillId="3" fontId="10" numFmtId="0" xfId="0" applyAlignment="1" applyBorder="1" applyFont="1">
      <alignment horizontal="left" shrinkToFit="0" vertical="center" wrapText="1"/>
    </xf>
    <xf borderId="4" fillId="5" fontId="21" numFmtId="10" xfId="0" applyAlignment="1" applyBorder="1" applyFont="1" applyNumberFormat="1">
      <alignment horizontal="center" shrinkToFit="0" vertical="center" wrapText="1"/>
    </xf>
    <xf borderId="5" fillId="5" fontId="22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4" fontId="19" numFmtId="0" xfId="0" applyAlignment="1" applyBorder="1" applyFont="1">
      <alignment horizontal="center" shrinkToFit="0" vertical="center" wrapText="1"/>
    </xf>
    <xf borderId="5" fillId="4" fontId="17" numFmtId="0" xfId="0" applyAlignment="1" applyBorder="1" applyFont="1">
      <alignment horizontal="left" shrinkToFit="0" vertical="center" wrapText="1"/>
    </xf>
    <xf borderId="4" fillId="5" fontId="19" numFmtId="0" xfId="0" applyAlignment="1" applyBorder="1" applyFont="1">
      <alignment horizontal="center" shrinkToFit="0" vertical="center" wrapText="1"/>
    </xf>
    <xf borderId="5" fillId="5" fontId="17" numFmtId="0" xfId="0" applyAlignment="1" applyBorder="1" applyFont="1">
      <alignment horizontal="left" shrinkToFit="0" vertical="center" wrapText="1"/>
    </xf>
    <xf borderId="4" fillId="3" fontId="22" numFmtId="0" xfId="0" applyAlignment="1" applyBorder="1" applyFont="1">
      <alignment horizontal="left" shrinkToFit="0" vertical="center" wrapText="1"/>
    </xf>
    <xf borderId="4" fillId="6" fontId="1" numFmtId="0" xfId="0" applyAlignment="1" applyBorder="1" applyFont="1">
      <alignment horizontal="center" shrinkToFit="0" vertical="center" wrapText="0"/>
    </xf>
    <xf borderId="4" fillId="5" fontId="23" numFmtId="0" xfId="0" applyAlignment="1" applyBorder="1" applyFont="1">
      <alignment horizontal="left" shrinkToFit="0" vertical="center" wrapText="1"/>
    </xf>
    <xf borderId="4" fillId="5" fontId="19" numFmtId="0" xfId="0" applyAlignment="1" applyBorder="1" applyFont="1">
      <alignment horizontal="left" shrinkToFit="0" vertical="center" wrapText="1"/>
    </xf>
    <xf borderId="4" fillId="5" fontId="17" numFmtId="0" xfId="0" applyAlignment="1" applyBorder="1" applyFont="1">
      <alignment horizontal="center" shrinkToFit="0" vertical="center" wrapText="0"/>
    </xf>
    <xf borderId="4" fillId="8" fontId="17" numFmtId="0" xfId="0" applyAlignment="1" applyBorder="1" applyFill="1" applyFont="1">
      <alignment horizontal="center" shrinkToFit="0" vertical="center" wrapText="0"/>
    </xf>
    <xf borderId="4" fillId="7" fontId="1" numFmtId="0" xfId="0" applyAlignment="1" applyBorder="1" applyFont="1">
      <alignment horizontal="center" shrinkToFit="0" vertical="center" wrapText="0"/>
    </xf>
    <xf borderId="4" fillId="4" fontId="23" numFmtId="0" xfId="0" applyAlignment="1" applyBorder="1" applyFont="1">
      <alignment horizontal="left" shrinkToFit="0" vertical="center" wrapText="1"/>
    </xf>
    <xf borderId="4" fillId="4" fontId="19" numFmtId="0" xfId="0" applyAlignment="1" applyBorder="1" applyFont="1">
      <alignment horizontal="left" shrinkToFit="0" vertical="center" wrapText="1"/>
    </xf>
    <xf borderId="4" fillId="4" fontId="17" numFmtId="0" xfId="0" applyAlignment="1" applyBorder="1" applyFont="1">
      <alignment horizontal="center" shrinkToFit="0" vertical="center" wrapText="0"/>
    </xf>
    <xf borderId="4" fillId="2" fontId="1" numFmtId="0" xfId="0" applyAlignment="1" applyBorder="1" applyFont="1">
      <alignment horizontal="center" shrinkToFit="0" vertical="center" wrapText="0"/>
    </xf>
    <xf borderId="4" fillId="3" fontId="10" numFmtId="0" xfId="0" applyAlignment="1" applyBorder="1" applyFont="1">
      <alignment horizontal="left" shrinkToFit="0" vertical="center" wrapText="0"/>
    </xf>
    <xf borderId="4" fillId="5" fontId="24" numFmtId="0" xfId="0" applyAlignment="1" applyBorder="1" applyFont="1">
      <alignment horizontal="center" shrinkToFit="0" vertical="center" wrapText="0"/>
    </xf>
    <xf borderId="5" fillId="5" fontId="25" numFmtId="9" xfId="0" applyAlignment="1" applyBorder="1" applyFont="1" applyNumberFormat="1">
      <alignment horizontal="center" shrinkToFit="0" vertical="center" wrapText="0"/>
    </xf>
    <xf borderId="1" fillId="5" fontId="26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Turnover Mensal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'📈 Dashboard'!$B$3</c:f>
            </c:strRef>
          </c:tx>
          <c:spPr>
            <a:solidFill>
              <a:srgbClr val="61DD75"/>
            </a:solidFill>
            <a:ln cmpd="sng">
              <a:solidFill>
                <a:srgbClr val="000000"/>
              </a:solidFill>
            </a:ln>
          </c:spPr>
          <c:cat>
            <c:strRef>
              <c:f>'📈 Dashboard'!$A$4:$A$15</c:f>
            </c:strRef>
          </c:cat>
          <c:val>
            <c:numRef>
              <c:f>'📈 Dashboard'!$B$4:$B$15</c:f>
              <c:numCache/>
            </c:numRef>
          </c:val>
        </c:ser>
        <c:axId val="503591354"/>
        <c:axId val="2117177990"/>
      </c:barChart>
      <c:catAx>
        <c:axId val="5035913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17177990"/>
      </c:catAx>
      <c:valAx>
        <c:axId val="2117177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0359135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Desligamentos por Área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'📈 Dashboard'!$H$4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'📈 Dashboard'!$G$5:$G$10</c:f>
            </c:strRef>
          </c:cat>
          <c:val>
            <c:numRef>
              <c:f>'📈 Dashboard'!$H$5:$H$10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Motivos de Desligamento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Qtd</c:v>
          </c:tx>
          <c:spPr>
            <a:solidFill>
              <a:srgbClr val="6212B3"/>
            </a:solidFill>
            <a:ln cmpd="sng">
              <a:solidFill>
                <a:srgbClr val="000000"/>
              </a:solidFill>
            </a:ln>
          </c:spPr>
          <c:cat>
            <c:strRef>
              <c:f>'📈 Dashboard'!$A$35:$A$39</c:f>
            </c:strRef>
          </c:cat>
          <c:val>
            <c:numRef>
              <c:f>'📈 Dashboard'!$B$35:$B$39</c:f>
              <c:numCache/>
            </c:numRef>
          </c:val>
        </c:ser>
        <c:axId val="1177832545"/>
        <c:axId val="1488174167"/>
      </c:barChart>
      <c:catAx>
        <c:axId val="11778325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88174167"/>
      </c:catAx>
      <c:valAx>
        <c:axId val="14881741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77832545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15</xdr:row>
      <xdr:rowOff>95250</xdr:rowOff>
    </xdr:from>
    <xdr:ext cx="4057650" cy="3162300"/>
    <xdr:graphicFrame>
      <xdr:nvGraphicFramePr>
        <xdr:cNvPr id="163487702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19050</xdr:colOff>
      <xdr:row>10</xdr:row>
      <xdr:rowOff>123825</xdr:rowOff>
    </xdr:from>
    <xdr:ext cx="4810125" cy="3743325"/>
    <xdr:graphicFrame>
      <xdr:nvGraphicFramePr>
        <xdr:cNvPr id="802342835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485775</xdr:colOff>
      <xdr:row>33</xdr:row>
      <xdr:rowOff>28575</xdr:rowOff>
    </xdr:from>
    <xdr:ext cx="6829425" cy="3695700"/>
    <xdr:graphicFrame>
      <xdr:nvGraphicFramePr>
        <xdr:cNvPr id="452607684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20.0"/>
    <col customWidth="1" min="3" max="3" width="22.0"/>
    <col customWidth="1" min="4" max="4" width="16.0"/>
    <col customWidth="1" min="5" max="5" width="22.0"/>
    <col customWidth="1" min="6" max="6" width="24.0"/>
    <col customWidth="1" min="7" max="7" width="30.0"/>
    <col customWidth="1" min="8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ht="19.5" customHeight="1">
      <c r="A4" s="6" t="s">
        <v>9</v>
      </c>
      <c r="B4" s="6" t="s">
        <v>10</v>
      </c>
      <c r="C4" s="6"/>
      <c r="D4" s="6" t="s">
        <v>11</v>
      </c>
      <c r="E4" s="6" t="s">
        <v>12</v>
      </c>
      <c r="F4" s="6" t="s">
        <v>13</v>
      </c>
      <c r="G4" s="6"/>
    </row>
    <row r="5" ht="19.5" customHeight="1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</row>
    <row r="6" ht="19.5" customHeight="1">
      <c r="A6" s="6" t="s">
        <v>21</v>
      </c>
      <c r="B6" s="6" t="s">
        <v>22</v>
      </c>
      <c r="C6" s="6"/>
      <c r="D6" s="6" t="s">
        <v>11</v>
      </c>
      <c r="E6" s="6" t="s">
        <v>23</v>
      </c>
      <c r="F6" s="6" t="s">
        <v>24</v>
      </c>
      <c r="G6" s="6"/>
    </row>
    <row r="7" ht="19.5" customHeight="1">
      <c r="A7" s="7" t="s">
        <v>25</v>
      </c>
      <c r="B7" s="7" t="s">
        <v>26</v>
      </c>
      <c r="C7" s="7" t="s">
        <v>27</v>
      </c>
      <c r="D7" s="7" t="s">
        <v>17</v>
      </c>
      <c r="E7" s="7" t="s">
        <v>28</v>
      </c>
      <c r="F7" s="7" t="s">
        <v>29</v>
      </c>
      <c r="G7" s="7" t="s">
        <v>30</v>
      </c>
    </row>
    <row r="8" ht="19.5" customHeight="1">
      <c r="A8" s="6" t="s">
        <v>31</v>
      </c>
      <c r="B8" s="6" t="s">
        <v>32</v>
      </c>
      <c r="C8" s="6"/>
      <c r="D8" s="6" t="s">
        <v>11</v>
      </c>
      <c r="E8" s="6" t="s">
        <v>33</v>
      </c>
      <c r="F8" s="6" t="s">
        <v>34</v>
      </c>
      <c r="G8" s="6"/>
    </row>
    <row r="9" ht="19.5" customHeight="1">
      <c r="A9" s="7" t="s">
        <v>35</v>
      </c>
      <c r="B9" s="7" t="s">
        <v>36</v>
      </c>
      <c r="C9" s="7" t="s">
        <v>37</v>
      </c>
      <c r="D9" s="7" t="s">
        <v>17</v>
      </c>
      <c r="E9" s="7" t="s">
        <v>12</v>
      </c>
      <c r="F9" s="7" t="s">
        <v>38</v>
      </c>
      <c r="G9" s="7" t="s">
        <v>39</v>
      </c>
    </row>
    <row r="10" ht="19.5" customHeight="1">
      <c r="A10" s="6" t="s">
        <v>40</v>
      </c>
      <c r="B10" s="6" t="s">
        <v>41</v>
      </c>
      <c r="C10" s="6"/>
      <c r="D10" s="6" t="s">
        <v>11</v>
      </c>
      <c r="E10" s="6" t="s">
        <v>42</v>
      </c>
      <c r="F10" s="6" t="s">
        <v>43</v>
      </c>
      <c r="G10" s="6"/>
    </row>
    <row r="11" ht="19.5" customHeight="1">
      <c r="A11" s="7" t="s">
        <v>44</v>
      </c>
      <c r="B11" s="7" t="s">
        <v>45</v>
      </c>
      <c r="C11" s="7" t="s">
        <v>46</v>
      </c>
      <c r="D11" s="7" t="s">
        <v>17</v>
      </c>
      <c r="E11" s="7" t="s">
        <v>18</v>
      </c>
      <c r="F11" s="7" t="s">
        <v>47</v>
      </c>
      <c r="G11" s="7" t="s">
        <v>20</v>
      </c>
    </row>
    <row r="12" ht="19.5" customHeight="1">
      <c r="A12" s="6" t="s">
        <v>48</v>
      </c>
      <c r="B12" s="6" t="s">
        <v>49</v>
      </c>
      <c r="C12" s="6"/>
      <c r="D12" s="6" t="s">
        <v>11</v>
      </c>
      <c r="E12" s="6" t="s">
        <v>23</v>
      </c>
      <c r="F12" s="6" t="s">
        <v>50</v>
      </c>
      <c r="G12" s="6"/>
    </row>
    <row r="13" ht="19.5" customHeight="1">
      <c r="A13" s="7" t="s">
        <v>51</v>
      </c>
      <c r="B13" s="7" t="s">
        <v>52</v>
      </c>
      <c r="C13" s="7"/>
      <c r="D13" s="7" t="s">
        <v>11</v>
      </c>
      <c r="E13" s="7" t="s">
        <v>33</v>
      </c>
      <c r="F13" s="7" t="s">
        <v>53</v>
      </c>
      <c r="G13" s="7"/>
    </row>
    <row r="14" ht="19.5" customHeight="1">
      <c r="A14" s="8"/>
      <c r="B14" s="8"/>
      <c r="C14" s="8"/>
      <c r="D14" s="8"/>
      <c r="E14" s="8"/>
      <c r="F14" s="8"/>
      <c r="G14" s="8"/>
    </row>
    <row r="15" ht="19.5" customHeight="1">
      <c r="A15" s="9"/>
      <c r="B15" s="9"/>
      <c r="C15" s="9"/>
      <c r="D15" s="9"/>
      <c r="E15" s="9"/>
      <c r="F15" s="9"/>
      <c r="G15" s="9"/>
    </row>
    <row r="16" ht="19.5" customHeight="1">
      <c r="A16" s="8"/>
      <c r="B16" s="8"/>
      <c r="C16" s="8"/>
      <c r="D16" s="8"/>
      <c r="E16" s="8"/>
      <c r="F16" s="8"/>
      <c r="G16" s="8"/>
    </row>
    <row r="17" ht="19.5" customHeight="1">
      <c r="A17" s="9"/>
      <c r="B17" s="9"/>
      <c r="C17" s="9"/>
      <c r="D17" s="9"/>
      <c r="E17" s="9"/>
      <c r="F17" s="9"/>
      <c r="G17" s="9"/>
    </row>
    <row r="18" ht="19.5" customHeight="1">
      <c r="A18" s="8"/>
      <c r="B18" s="8"/>
      <c r="C18" s="8"/>
      <c r="D18" s="8"/>
      <c r="E18" s="8"/>
      <c r="F18" s="8"/>
      <c r="G18" s="8"/>
    </row>
    <row r="19" ht="19.5" customHeight="1">
      <c r="A19" s="9"/>
      <c r="B19" s="9"/>
      <c r="C19" s="9"/>
      <c r="D19" s="9"/>
      <c r="E19" s="9"/>
      <c r="F19" s="9"/>
      <c r="G19" s="9"/>
    </row>
    <row r="20" ht="19.5" customHeight="1">
      <c r="A20" s="8"/>
      <c r="B20" s="8"/>
      <c r="C20" s="8"/>
      <c r="D20" s="8"/>
      <c r="E20" s="8"/>
      <c r="F20" s="8"/>
      <c r="G20" s="8"/>
    </row>
    <row r="21" ht="19.5" customHeight="1">
      <c r="A21" s="9"/>
      <c r="B21" s="9"/>
      <c r="C21" s="9"/>
      <c r="D21" s="9"/>
      <c r="E21" s="9"/>
      <c r="F21" s="9"/>
      <c r="G21" s="9"/>
    </row>
    <row r="22" ht="19.5" customHeight="1">
      <c r="A22" s="8"/>
      <c r="B22" s="8"/>
      <c r="C22" s="8"/>
      <c r="D22" s="8"/>
      <c r="E22" s="8"/>
      <c r="F22" s="8"/>
      <c r="G22" s="8"/>
    </row>
    <row r="23" ht="19.5" customHeight="1">
      <c r="A23" s="9"/>
      <c r="B23" s="9"/>
      <c r="C23" s="9"/>
      <c r="D23" s="9"/>
      <c r="E23" s="9"/>
      <c r="F23" s="9"/>
      <c r="G23" s="9"/>
    </row>
    <row r="24" ht="15.75" customHeight="1"/>
    <row r="25" ht="27.75" customHeight="1">
      <c r="A25" s="10" t="s">
        <v>54</v>
      </c>
      <c r="B25" s="2"/>
      <c r="C25" s="2"/>
      <c r="D25" s="2"/>
      <c r="E25" s="2"/>
      <c r="F25" s="2"/>
      <c r="G2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25:G2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14"/>
    <col customWidth="1" min="2" max="2" width="17.29"/>
    <col customWidth="1" min="3" max="3" width="16.0"/>
    <col customWidth="1" min="4" max="4" width="22.14"/>
    <col customWidth="1" min="5" max="5" width="14.71"/>
    <col customWidth="1" min="6" max="6" width="17.0"/>
    <col customWidth="1" min="7" max="7" width="17.29"/>
    <col customWidth="1" min="8" max="26" width="8.71"/>
  </cols>
  <sheetData>
    <row r="1" ht="36.0" customHeight="1">
      <c r="A1" s="1" t="s">
        <v>55</v>
      </c>
      <c r="B1" s="2"/>
      <c r="C1" s="2"/>
      <c r="D1" s="2"/>
      <c r="E1" s="2"/>
      <c r="F1" s="2"/>
      <c r="G1" s="3"/>
    </row>
    <row r="2" ht="19.5" customHeight="1">
      <c r="A2" s="11" t="s">
        <v>56</v>
      </c>
      <c r="B2" s="2"/>
      <c r="C2" s="2"/>
      <c r="D2" s="2"/>
      <c r="E2" s="2"/>
      <c r="F2" s="2"/>
      <c r="G2" s="3"/>
    </row>
    <row r="3" ht="7.5" customHeight="1"/>
    <row r="4" ht="24.0" customHeight="1">
      <c r="A4" s="12" t="s">
        <v>57</v>
      </c>
      <c r="B4" s="2"/>
      <c r="C4" s="2"/>
      <c r="D4" s="2"/>
      <c r="E4" s="2"/>
      <c r="F4" s="2"/>
      <c r="G4" s="3"/>
    </row>
    <row r="5" ht="21.75" customHeight="1">
      <c r="A5" s="5" t="s">
        <v>58</v>
      </c>
      <c r="B5" s="13" t="s">
        <v>59</v>
      </c>
      <c r="C5" s="13" t="s">
        <v>60</v>
      </c>
      <c r="D5" s="13" t="s">
        <v>61</v>
      </c>
      <c r="E5" s="5" t="s">
        <v>62</v>
      </c>
      <c r="F5" s="5" t="s">
        <v>63</v>
      </c>
      <c r="G5" s="5" t="s">
        <v>64</v>
      </c>
    </row>
    <row r="6" ht="19.5" customHeight="1">
      <c r="A6" s="14" t="s">
        <v>65</v>
      </c>
      <c r="B6" s="15">
        <v>80.0</v>
      </c>
      <c r="C6" s="15">
        <v>78.0</v>
      </c>
      <c r="D6" s="16">
        <f t="shared" ref="D6:D17" si="1">(B6+C6)/2</f>
        <v>79</v>
      </c>
      <c r="E6" s="15">
        <v>4.0</v>
      </c>
      <c r="F6" s="17">
        <f t="shared" ref="F6:F17" si="2">IFERROR(E6/D6,0)</f>
        <v>0.05063291139</v>
      </c>
      <c r="G6" s="17">
        <f>IFERROR(SUM(F6),0)</f>
        <v>0.05063291139</v>
      </c>
    </row>
    <row r="7" ht="19.5" customHeight="1">
      <c r="A7" s="18" t="s">
        <v>66</v>
      </c>
      <c r="B7" s="19">
        <v>78.0</v>
      </c>
      <c r="C7" s="19">
        <v>79.0</v>
      </c>
      <c r="D7" s="20">
        <f t="shared" si="1"/>
        <v>78.5</v>
      </c>
      <c r="E7" s="19">
        <v>3.0</v>
      </c>
      <c r="F7" s="21">
        <f t="shared" si="2"/>
        <v>0.03821656051</v>
      </c>
      <c r="G7" s="21">
        <f>IFERROR(SUM(F6:F7),0)</f>
        <v>0.0888494719</v>
      </c>
    </row>
    <row r="8" ht="19.5" customHeight="1">
      <c r="A8" s="14" t="s">
        <v>67</v>
      </c>
      <c r="B8" s="15">
        <v>79.0</v>
      </c>
      <c r="C8" s="15">
        <v>81.0</v>
      </c>
      <c r="D8" s="16">
        <f t="shared" si="1"/>
        <v>80</v>
      </c>
      <c r="E8" s="15">
        <v>2.0</v>
      </c>
      <c r="F8" s="17">
        <f t="shared" si="2"/>
        <v>0.025</v>
      </c>
      <c r="G8" s="17">
        <f>IFERROR(SUM(F6:F8),0)</f>
        <v>0.1138494719</v>
      </c>
    </row>
    <row r="9" ht="19.5" customHeight="1">
      <c r="A9" s="18" t="s">
        <v>68</v>
      </c>
      <c r="B9" s="19">
        <v>81.0</v>
      </c>
      <c r="C9" s="19">
        <v>80.0</v>
      </c>
      <c r="D9" s="20">
        <f t="shared" si="1"/>
        <v>80.5</v>
      </c>
      <c r="E9" s="19">
        <v>3.0</v>
      </c>
      <c r="F9" s="21">
        <f t="shared" si="2"/>
        <v>0.03726708075</v>
      </c>
      <c r="G9" s="21">
        <f>IFERROR(SUM(F6:F9),0)</f>
        <v>0.1511165526</v>
      </c>
    </row>
    <row r="10" ht="19.5" customHeight="1">
      <c r="A10" s="14" t="s">
        <v>69</v>
      </c>
      <c r="B10" s="15">
        <v>80.0</v>
      </c>
      <c r="C10" s="15">
        <v>82.0</v>
      </c>
      <c r="D10" s="16">
        <f t="shared" si="1"/>
        <v>81</v>
      </c>
      <c r="E10" s="15">
        <v>2.0</v>
      </c>
      <c r="F10" s="17">
        <f t="shared" si="2"/>
        <v>0.02469135802</v>
      </c>
      <c r="G10" s="17">
        <f>IFERROR(SUM(F6:F10),0)</f>
        <v>0.1758079107</v>
      </c>
    </row>
    <row r="11" ht="19.5" customHeight="1">
      <c r="A11" s="18" t="s">
        <v>70</v>
      </c>
      <c r="B11" s="19">
        <v>82.0</v>
      </c>
      <c r="C11" s="19">
        <v>83.0</v>
      </c>
      <c r="D11" s="20">
        <f t="shared" si="1"/>
        <v>82.5</v>
      </c>
      <c r="E11" s="19">
        <v>1.0</v>
      </c>
      <c r="F11" s="21">
        <f t="shared" si="2"/>
        <v>0.01212121212</v>
      </c>
      <c r="G11" s="21">
        <f>IFERROR(SUM(F6:F11),0)</f>
        <v>0.1879291228</v>
      </c>
    </row>
    <row r="12" ht="19.5" customHeight="1">
      <c r="A12" s="14" t="s">
        <v>71</v>
      </c>
      <c r="B12" s="15">
        <v>83.0</v>
      </c>
      <c r="C12" s="15">
        <v>82.0</v>
      </c>
      <c r="D12" s="16">
        <f t="shared" si="1"/>
        <v>82.5</v>
      </c>
      <c r="E12" s="15">
        <v>3.0</v>
      </c>
      <c r="F12" s="17">
        <f t="shared" si="2"/>
        <v>0.03636363636</v>
      </c>
      <c r="G12" s="17">
        <f>IFERROR(SUM(F6:F12),0)</f>
        <v>0.2242927592</v>
      </c>
    </row>
    <row r="13" ht="19.5" customHeight="1">
      <c r="A13" s="18" t="s">
        <v>72</v>
      </c>
      <c r="B13" s="19">
        <v>82.0</v>
      </c>
      <c r="C13" s="19">
        <v>81.0</v>
      </c>
      <c r="D13" s="20">
        <f t="shared" si="1"/>
        <v>81.5</v>
      </c>
      <c r="E13" s="19">
        <v>4.0</v>
      </c>
      <c r="F13" s="21">
        <f t="shared" si="2"/>
        <v>0.0490797546</v>
      </c>
      <c r="G13" s="21">
        <f>IFERROR(SUM(F6:F13),0)</f>
        <v>0.2733725138</v>
      </c>
    </row>
    <row r="14" ht="19.5" customHeight="1">
      <c r="A14" s="14" t="s">
        <v>73</v>
      </c>
      <c r="B14" s="15">
        <v>81.0</v>
      </c>
      <c r="C14" s="15">
        <v>80.0</v>
      </c>
      <c r="D14" s="16">
        <f t="shared" si="1"/>
        <v>80.5</v>
      </c>
      <c r="E14" s="15">
        <v>3.0</v>
      </c>
      <c r="F14" s="17">
        <f t="shared" si="2"/>
        <v>0.03726708075</v>
      </c>
      <c r="G14" s="17">
        <f>IFERROR(SUM(F6:F14),0)</f>
        <v>0.3106395945</v>
      </c>
    </row>
    <row r="15" ht="19.5" customHeight="1">
      <c r="A15" s="18" t="s">
        <v>74</v>
      </c>
      <c r="B15" s="19">
        <v>80.0</v>
      </c>
      <c r="C15" s="19">
        <v>79.0</v>
      </c>
      <c r="D15" s="20">
        <f t="shared" si="1"/>
        <v>79.5</v>
      </c>
      <c r="E15" s="19">
        <v>2.0</v>
      </c>
      <c r="F15" s="21">
        <f t="shared" si="2"/>
        <v>0.0251572327</v>
      </c>
      <c r="G15" s="21">
        <f>IFERROR(SUM(F6:F15),0)</f>
        <v>0.3357968272</v>
      </c>
    </row>
    <row r="16" ht="19.5" customHeight="1">
      <c r="A16" s="14" t="s">
        <v>75</v>
      </c>
      <c r="B16" s="15">
        <v>79.0</v>
      </c>
      <c r="C16" s="15">
        <v>78.0</v>
      </c>
      <c r="D16" s="16">
        <f t="shared" si="1"/>
        <v>78.5</v>
      </c>
      <c r="E16" s="15">
        <v>3.0</v>
      </c>
      <c r="F16" s="17">
        <f t="shared" si="2"/>
        <v>0.03821656051</v>
      </c>
      <c r="G16" s="17">
        <f>IFERROR(SUM(F6:F16),0)</f>
        <v>0.3740133877</v>
      </c>
    </row>
    <row r="17" ht="19.5" customHeight="1">
      <c r="A17" s="18" t="s">
        <v>76</v>
      </c>
      <c r="B17" s="19">
        <v>78.0</v>
      </c>
      <c r="C17" s="19">
        <v>77.0</v>
      </c>
      <c r="D17" s="20">
        <f t="shared" si="1"/>
        <v>77.5</v>
      </c>
      <c r="E17" s="19">
        <v>4.0</v>
      </c>
      <c r="F17" s="21">
        <f t="shared" si="2"/>
        <v>0.05161290323</v>
      </c>
      <c r="G17" s="21">
        <f>IFERROR(SUM(F6:F17),0)</f>
        <v>0.4256262909</v>
      </c>
    </row>
    <row r="18" ht="24.0" customHeight="1">
      <c r="A18" s="5" t="s">
        <v>77</v>
      </c>
      <c r="B18" s="5">
        <f>B6</f>
        <v>80</v>
      </c>
      <c r="C18" s="5">
        <f>C17</f>
        <v>77</v>
      </c>
      <c r="D18" s="22">
        <f>AVERAGE(D6:D17)</f>
        <v>80.125</v>
      </c>
      <c r="E18" s="5">
        <f>SUM(E6:E17)</f>
        <v>34</v>
      </c>
      <c r="F18" s="23">
        <f>IFERROR(SUM(E6:E17)/AVERAGE(D6:D17),0)</f>
        <v>0.4243369735</v>
      </c>
      <c r="G18" s="23">
        <f>F18</f>
        <v>0.4243369735</v>
      </c>
    </row>
    <row r="20" ht="7.5" customHeight="1"/>
    <row r="21" ht="24.0" customHeight="1">
      <c r="A21" s="12" t="s">
        <v>78</v>
      </c>
      <c r="B21" s="2"/>
      <c r="C21" s="2"/>
      <c r="D21" s="2"/>
      <c r="E21" s="2"/>
      <c r="F21" s="2"/>
      <c r="G21" s="3"/>
    </row>
    <row r="22" ht="21.75" customHeight="1"/>
    <row r="23" ht="33.75" customHeight="1"/>
    <row r="24" ht="15.75" customHeight="1"/>
    <row r="25" ht="24.0" customHeight="1">
      <c r="A25" s="24" t="s">
        <v>79</v>
      </c>
      <c r="B25" s="2"/>
      <c r="C25" s="2"/>
      <c r="D25" s="2"/>
      <c r="E25" s="2"/>
      <c r="F25" s="2"/>
      <c r="G25" s="3"/>
    </row>
    <row r="26" ht="19.5" customHeight="1">
      <c r="A26" s="25" t="s">
        <v>80</v>
      </c>
      <c r="B26" s="2"/>
      <c r="C26" s="2"/>
      <c r="D26" s="2"/>
      <c r="E26" s="2"/>
      <c r="F26" s="2"/>
      <c r="G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>
      <c r="B2222" s="26" t="s">
        <v>81</v>
      </c>
      <c r="D2222" s="27" t="s">
        <v>82</v>
      </c>
      <c r="F2222" s="28" t="s">
        <v>83</v>
      </c>
    </row>
    <row r="2223" ht="15.75" customHeight="1">
      <c r="B2223" s="29">
        <f>F18</f>
        <v>0.4243369735</v>
      </c>
      <c r="D2223" s="30">
        <f>SUM(E6:E17)</f>
        <v>34</v>
      </c>
      <c r="F2223" s="31">
        <f>AVERAGE(D6:D17)</f>
        <v>80.125</v>
      </c>
    </row>
  </sheetData>
  <mergeCells count="6">
    <mergeCell ref="A1:G1"/>
    <mergeCell ref="A2:G2"/>
    <mergeCell ref="A4:G4"/>
    <mergeCell ref="A21:G21"/>
    <mergeCell ref="A25:G25"/>
    <mergeCell ref="A26:G2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12" width="12.0"/>
    <col customWidth="1" min="13" max="26" width="8.71"/>
  </cols>
  <sheetData>
    <row r="1" ht="36.0" customHeight="1">
      <c r="A1" s="1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3" ht="21.75" customHeight="1">
      <c r="A3" s="12" t="s">
        <v>85</v>
      </c>
      <c r="B3" s="2"/>
      <c r="C3" s="2"/>
      <c r="D3" s="2"/>
      <c r="E3" s="2"/>
      <c r="F3" s="3"/>
      <c r="G3" s="32" t="s">
        <v>86</v>
      </c>
      <c r="H3" s="2"/>
      <c r="I3" s="2"/>
      <c r="J3" s="2"/>
      <c r="K3" s="2"/>
      <c r="L3" s="3"/>
    </row>
    <row r="4" ht="15.75" customHeight="1">
      <c r="A4" s="33" t="s">
        <v>87</v>
      </c>
      <c r="B4" s="34">
        <f>'📊 Cálculo de Turnover'!F6</f>
        <v>0.05063291139</v>
      </c>
      <c r="G4" s="35" t="s">
        <v>6</v>
      </c>
      <c r="H4" s="26" t="s">
        <v>62</v>
      </c>
    </row>
    <row r="5" ht="15.75" customHeight="1">
      <c r="A5" s="33" t="s">
        <v>88</v>
      </c>
      <c r="B5" s="34">
        <f>'📊 Cálculo de Turnover'!F7</f>
        <v>0.03821656051</v>
      </c>
      <c r="G5" s="36" t="s">
        <v>12</v>
      </c>
      <c r="H5" s="37">
        <v>2.0</v>
      </c>
    </row>
    <row r="6" ht="15.75" customHeight="1">
      <c r="A6" s="33" t="s">
        <v>89</v>
      </c>
      <c r="B6" s="34">
        <f>'📊 Cálculo de Turnover'!F8</f>
        <v>0.025</v>
      </c>
      <c r="G6" s="38" t="s">
        <v>18</v>
      </c>
      <c r="H6" s="39">
        <v>2.0</v>
      </c>
    </row>
    <row r="7" ht="15.75" customHeight="1">
      <c r="A7" s="33" t="s">
        <v>90</v>
      </c>
      <c r="B7" s="34">
        <f>'📊 Cálculo de Turnover'!F9</f>
        <v>0.03726708075</v>
      </c>
      <c r="G7" s="36" t="s">
        <v>28</v>
      </c>
      <c r="H7" s="37">
        <v>1.0</v>
      </c>
    </row>
    <row r="8" ht="15.75" customHeight="1">
      <c r="A8" s="33" t="s">
        <v>91</v>
      </c>
      <c r="B8" s="34">
        <f>'📊 Cálculo de Turnover'!F10</f>
        <v>0.02469135802</v>
      </c>
      <c r="G8" s="38" t="s">
        <v>23</v>
      </c>
      <c r="H8" s="39">
        <v>0.0</v>
      </c>
    </row>
    <row r="9" ht="15.75" customHeight="1">
      <c r="A9" s="33" t="s">
        <v>92</v>
      </c>
      <c r="B9" s="34">
        <f>'📊 Cálculo de Turnover'!F11</f>
        <v>0.01212121212</v>
      </c>
      <c r="G9" s="36" t="s">
        <v>33</v>
      </c>
      <c r="H9" s="37">
        <v>0.0</v>
      </c>
    </row>
    <row r="10" ht="15.75" customHeight="1">
      <c r="A10" s="33" t="s">
        <v>93</v>
      </c>
      <c r="B10" s="34">
        <f>'📊 Cálculo de Turnover'!F12</f>
        <v>0.03636363636</v>
      </c>
      <c r="G10" s="38" t="s">
        <v>42</v>
      </c>
      <c r="H10" s="39">
        <v>0.0</v>
      </c>
    </row>
    <row r="11" ht="15.75" customHeight="1">
      <c r="A11" s="33" t="s">
        <v>94</v>
      </c>
      <c r="B11" s="34">
        <f>'📊 Cálculo de Turnover'!F13</f>
        <v>0.0490797546</v>
      </c>
    </row>
    <row r="12" ht="15.75" customHeight="1">
      <c r="A12" s="33" t="s">
        <v>95</v>
      </c>
      <c r="B12" s="34">
        <f>'📊 Cálculo de Turnover'!F14</f>
        <v>0.03726708075</v>
      </c>
    </row>
    <row r="13" ht="15.75" customHeight="1">
      <c r="A13" s="33" t="s">
        <v>96</v>
      </c>
      <c r="B13" s="34">
        <f>'📊 Cálculo de Turnover'!F15</f>
        <v>0.0251572327</v>
      </c>
    </row>
    <row r="14" ht="15.75" customHeight="1">
      <c r="A14" s="33" t="s">
        <v>97</v>
      </c>
      <c r="B14" s="34">
        <f>'📊 Cálculo de Turnover'!F16</f>
        <v>0.03821656051</v>
      </c>
    </row>
    <row r="15" ht="15.75" customHeight="1">
      <c r="A15" s="33" t="s">
        <v>98</v>
      </c>
      <c r="B15" s="34">
        <f>'📊 Cálculo de Turnover'!F17</f>
        <v>0.05161290323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21.75" customHeight="1">
      <c r="A33" s="40" t="s">
        <v>99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3"/>
    </row>
    <row r="34" ht="18.0" customHeight="1">
      <c r="A34" s="41" t="s">
        <v>100</v>
      </c>
      <c r="B34" s="27" t="s">
        <v>101</v>
      </c>
    </row>
    <row r="35" ht="18.0" customHeight="1">
      <c r="A35" s="36" t="s">
        <v>20</v>
      </c>
      <c r="B35" s="37">
        <v>2.0</v>
      </c>
    </row>
    <row r="36" ht="18.0" customHeight="1">
      <c r="A36" s="38" t="s">
        <v>30</v>
      </c>
      <c r="B36" s="39">
        <v>1.0</v>
      </c>
    </row>
    <row r="37" ht="18.0" customHeight="1">
      <c r="A37" s="36" t="s">
        <v>39</v>
      </c>
      <c r="B37" s="37">
        <v>1.0</v>
      </c>
    </row>
    <row r="38" ht="18.0" customHeight="1">
      <c r="A38" s="38" t="s">
        <v>102</v>
      </c>
      <c r="B38" s="39">
        <v>0.0</v>
      </c>
    </row>
    <row r="39" ht="18.0" customHeight="1">
      <c r="A39" s="36" t="s">
        <v>103</v>
      </c>
      <c r="B39" s="37">
        <v>0.0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L1"/>
    <mergeCell ref="A3:F3"/>
    <mergeCell ref="G3:L3"/>
    <mergeCell ref="A33:L3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5" width="22.0"/>
    <col customWidth="1" min="6" max="26" width="8.71"/>
  </cols>
  <sheetData>
    <row r="1" ht="36.0" customHeight="1">
      <c r="A1" s="1" t="s">
        <v>104</v>
      </c>
      <c r="B1" s="2"/>
      <c r="C1" s="2"/>
      <c r="D1" s="2"/>
      <c r="E1" s="3"/>
    </row>
    <row r="2" ht="7.5" customHeight="1"/>
    <row r="3" ht="24.0" customHeight="1">
      <c r="A3" s="12" t="s">
        <v>105</v>
      </c>
      <c r="B3" s="2"/>
      <c r="C3" s="2"/>
      <c r="D3" s="2"/>
      <c r="E3" s="3"/>
    </row>
    <row r="4" ht="21.75" customHeight="1">
      <c r="A4" s="5" t="s">
        <v>106</v>
      </c>
      <c r="C4" s="5" t="s">
        <v>107</v>
      </c>
      <c r="E4" s="5" t="s">
        <v>108</v>
      </c>
    </row>
    <row r="5" ht="39.75" customHeight="1">
      <c r="A5" s="42">
        <f>'📊 Cálculo de Turnover'!F18</f>
        <v>0.4243369735</v>
      </c>
      <c r="C5" s="43">
        <f>'📊 Cálculo de Turnover'!E18</f>
        <v>34</v>
      </c>
      <c r="E5" s="44">
        <f>'📊 Cálculo de Turnover'!D18</f>
        <v>80.125</v>
      </c>
    </row>
    <row r="7" ht="7.5" customHeight="1"/>
    <row r="8" ht="24.0" customHeight="1">
      <c r="A8" s="32" t="s">
        <v>109</v>
      </c>
      <c r="B8" s="2"/>
      <c r="C8" s="2"/>
      <c r="D8" s="2"/>
      <c r="E8" s="3"/>
    </row>
    <row r="9" ht="27.75" customHeight="1">
      <c r="A9" s="45" t="s">
        <v>81</v>
      </c>
      <c r="B9" s="46">
        <f>'📊 Cálculo de Turnover'!F18</f>
        <v>0.4243369735</v>
      </c>
      <c r="C9" s="47" t="str">
        <f>IF('📊 Cálculo de Turnover'!F18&lt;0.1,"✅ Saudável — continue monitorando mensalmente",IF('📊 Cálculo de Turnover'!F18&lt;0.2,"⚠️ Atenção — identifique as áreas com maior saída e investigue causas","🚨 CRÍTICO — implemente plano de retenção urgente"))</f>
        <v>🚨 CRÍTICO — implemente plano de retenção urgente</v>
      </c>
      <c r="D9" s="48"/>
      <c r="E9" s="49"/>
    </row>
    <row r="10" ht="27.75" customHeight="1">
      <c r="A10" s="45" t="s">
        <v>110</v>
      </c>
      <c r="B10" s="50" t="s">
        <v>111</v>
      </c>
      <c r="C10" s="51" t="s">
        <v>112</v>
      </c>
      <c r="D10" s="48"/>
      <c r="E10" s="49"/>
    </row>
    <row r="11" ht="27.75" customHeight="1">
      <c r="A11" s="45" t="s">
        <v>113</v>
      </c>
      <c r="B11" s="52" t="s">
        <v>114</v>
      </c>
      <c r="C11" s="53" t="s">
        <v>115</v>
      </c>
      <c r="D11" s="48"/>
      <c r="E11" s="49"/>
    </row>
    <row r="13" ht="7.5" customHeight="1"/>
    <row r="14" ht="24.0" customHeight="1">
      <c r="A14" s="12" t="s">
        <v>116</v>
      </c>
      <c r="B14" s="2"/>
      <c r="C14" s="2"/>
      <c r="D14" s="2"/>
      <c r="E14" s="3"/>
    </row>
    <row r="15" ht="36.0" customHeight="1">
      <c r="A15" s="54" t="s">
        <v>117</v>
      </c>
      <c r="B15" s="53" t="s">
        <v>118</v>
      </c>
      <c r="C15" s="48"/>
      <c r="D15" s="48"/>
      <c r="E15" s="49"/>
    </row>
    <row r="16" ht="36.0" customHeight="1">
      <c r="A16" s="54" t="s">
        <v>119</v>
      </c>
      <c r="B16" s="51" t="s">
        <v>120</v>
      </c>
      <c r="C16" s="48"/>
      <c r="D16" s="48"/>
      <c r="E16" s="49"/>
    </row>
    <row r="17" ht="36.0" customHeight="1">
      <c r="A17" s="54" t="s">
        <v>121</v>
      </c>
      <c r="B17" s="53" t="s">
        <v>122</v>
      </c>
      <c r="C17" s="48"/>
      <c r="D17" s="48"/>
      <c r="E17" s="49"/>
    </row>
    <row r="18" ht="36.0" customHeight="1">
      <c r="A18" s="54" t="s">
        <v>123</v>
      </c>
      <c r="B18" s="51" t="s">
        <v>124</v>
      </c>
      <c r="C18" s="48"/>
      <c r="D18" s="48"/>
      <c r="E18" s="49"/>
    </row>
    <row r="19" ht="36.0" customHeight="1">
      <c r="A19" s="54" t="s">
        <v>125</v>
      </c>
      <c r="B19" s="53" t="s">
        <v>126</v>
      </c>
      <c r="C19" s="48"/>
      <c r="D19" s="48"/>
      <c r="E19" s="4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15:E15"/>
    <mergeCell ref="B16:E16"/>
    <mergeCell ref="B17:E17"/>
    <mergeCell ref="B18:E18"/>
    <mergeCell ref="B19:E19"/>
    <mergeCell ref="A1:E1"/>
    <mergeCell ref="A3:E3"/>
    <mergeCell ref="A8:E8"/>
    <mergeCell ref="C9:E9"/>
    <mergeCell ref="C10:E10"/>
    <mergeCell ref="C11:E11"/>
    <mergeCell ref="A14:E14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6.0"/>
    <col customWidth="1" min="3" max="3" width="38.0"/>
    <col customWidth="1" min="4" max="4" width="22.0"/>
    <col customWidth="1" min="5" max="6" width="16.0"/>
    <col customWidth="1" min="7" max="26" width="8.71"/>
  </cols>
  <sheetData>
    <row r="1" ht="36.0" customHeight="1">
      <c r="A1" s="1" t="s">
        <v>127</v>
      </c>
      <c r="B1" s="2"/>
      <c r="C1" s="2"/>
      <c r="D1" s="2"/>
      <c r="E1" s="2"/>
      <c r="F1" s="3"/>
    </row>
    <row r="2" ht="19.5" customHeight="1">
      <c r="A2" s="11" t="s">
        <v>128</v>
      </c>
      <c r="B2" s="2"/>
      <c r="C2" s="2"/>
      <c r="D2" s="2"/>
      <c r="E2" s="2"/>
      <c r="F2" s="3"/>
    </row>
    <row r="4" ht="21.75" customHeight="1">
      <c r="A4" s="5" t="s">
        <v>129</v>
      </c>
      <c r="B4" s="5" t="s">
        <v>130</v>
      </c>
      <c r="C4" s="5" t="s">
        <v>131</v>
      </c>
      <c r="D4" s="5" t="s">
        <v>132</v>
      </c>
      <c r="E4" s="5" t="s">
        <v>133</v>
      </c>
      <c r="F4" s="5" t="s">
        <v>134</v>
      </c>
    </row>
    <row r="5" ht="60.0" customHeight="1">
      <c r="A5" s="55" t="s">
        <v>135</v>
      </c>
      <c r="B5" s="56" t="s">
        <v>136</v>
      </c>
      <c r="C5" s="57" t="s">
        <v>137</v>
      </c>
      <c r="D5" s="58" t="s">
        <v>138</v>
      </c>
      <c r="E5" s="58" t="s">
        <v>139</v>
      </c>
      <c r="F5" s="59" t="s">
        <v>140</v>
      </c>
    </row>
    <row r="6" ht="60.0" customHeight="1">
      <c r="A6" s="60" t="s">
        <v>141</v>
      </c>
      <c r="B6" s="61" t="s">
        <v>142</v>
      </c>
      <c r="C6" s="62" t="s">
        <v>143</v>
      </c>
      <c r="D6" s="63" t="s">
        <v>28</v>
      </c>
      <c r="E6" s="63" t="s">
        <v>144</v>
      </c>
      <c r="F6" s="59" t="s">
        <v>140</v>
      </c>
    </row>
    <row r="7" ht="60.0" customHeight="1">
      <c r="A7" s="64" t="s">
        <v>145</v>
      </c>
      <c r="B7" s="56" t="s">
        <v>146</v>
      </c>
      <c r="C7" s="57" t="s">
        <v>147</v>
      </c>
      <c r="D7" s="58" t="s">
        <v>28</v>
      </c>
      <c r="E7" s="58" t="s">
        <v>139</v>
      </c>
      <c r="F7" s="59" t="s">
        <v>140</v>
      </c>
    </row>
    <row r="8" ht="60.0" customHeight="1">
      <c r="A8" s="55" t="s">
        <v>148</v>
      </c>
      <c r="B8" s="61" t="s">
        <v>149</v>
      </c>
      <c r="C8" s="62" t="s">
        <v>150</v>
      </c>
      <c r="D8" s="63" t="s">
        <v>151</v>
      </c>
      <c r="E8" s="63" t="s">
        <v>152</v>
      </c>
      <c r="F8" s="59" t="s">
        <v>140</v>
      </c>
    </row>
    <row r="9" ht="60.0" customHeight="1">
      <c r="A9" s="60" t="s">
        <v>153</v>
      </c>
      <c r="B9" s="56" t="s">
        <v>154</v>
      </c>
      <c r="C9" s="57" t="s">
        <v>155</v>
      </c>
      <c r="D9" s="58" t="s">
        <v>138</v>
      </c>
      <c r="E9" s="58" t="s">
        <v>152</v>
      </c>
      <c r="F9" s="59" t="s">
        <v>140</v>
      </c>
    </row>
    <row r="11" ht="7.5" customHeight="1"/>
    <row r="12" ht="24.0" customHeight="1">
      <c r="A12" s="12" t="s">
        <v>156</v>
      </c>
      <c r="B12" s="2"/>
      <c r="C12" s="2"/>
      <c r="D12" s="2"/>
      <c r="E12" s="2"/>
      <c r="F12" s="3"/>
    </row>
    <row r="13" ht="24.0" customHeight="1">
      <c r="A13" s="65" t="s">
        <v>157</v>
      </c>
      <c r="B13" s="66">
        <f>COUNTIF(F5:F9,"✅ Concluído")</f>
        <v>0</v>
      </c>
      <c r="C13" s="9" t="s">
        <v>158</v>
      </c>
      <c r="D13" s="67">
        <f>IFERROR(COUNTIF(F5:F9,"✅ Concluído")/5,0)</f>
        <v>0</v>
      </c>
      <c r="E13" s="48"/>
      <c r="F13" s="49"/>
    </row>
    <row r="15" ht="7.5" customHeight="1"/>
    <row r="16" ht="24.0" customHeight="1">
      <c r="A16" s="11" t="s">
        <v>159</v>
      </c>
      <c r="B16" s="2"/>
      <c r="C16" s="2"/>
      <c r="D16" s="2"/>
      <c r="E16" s="2"/>
      <c r="F16" s="3"/>
    </row>
    <row r="17" ht="24.0" customHeight="1">
      <c r="A17" s="68" t="s">
        <v>160</v>
      </c>
      <c r="B17" s="2"/>
      <c r="C17" s="2"/>
      <c r="D17" s="2"/>
      <c r="E17" s="2"/>
      <c r="F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F1"/>
    <mergeCell ref="A2:F2"/>
    <mergeCell ref="A12:F12"/>
    <mergeCell ref="D13:F13"/>
    <mergeCell ref="A16:F16"/>
    <mergeCell ref="A17:F17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2026-04-09T17:21:19Z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